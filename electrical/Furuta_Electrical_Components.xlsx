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69e93acc8f44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onents" sheetId="1" r:id="R39b5d5fe23764323"/>
    <x:sheet xmlns:r="http://schemas.openxmlformats.org/officeDocument/2006/relationships" name="Alternative offers" sheetId="2" r:id="R8191dfb8191e40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"/>
  </x:numFmts>
  <x:fonts count="6">
    <x:font>
      <x:sz val="11"/>
      <x:name val="Carlito"/>
    </x:font>
    <x:font>
      <x:sz val="10"/>
      <x:color rgb="FF203649"/>
      <x:name val="Arial"/>
    </x:font>
    <x:font>
      <x:b/>
      <x:sz val="16"/>
      <x:color rgb="FF153448"/>
      <x:name val="Arial"/>
    </x:font>
    <x:font>
      <x:b/>
      <x:sz val="10"/>
      <x:color rgb="FFFFFFFF"/>
      <x:name val="Arial"/>
    </x:font>
    <x:font>
      <x:b/>
      <x:sz val="14"/>
      <x:color rgb="FF203649"/>
      <x:name val="Arial"/>
    </x:font>
    <x:font>
      <x:b/>
      <x:sz val="16"/>
      <x:color rgb="FF20364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53448"/>
      </x:patternFill>
    </x:fill>
    <x:fill>
      <x:patternFill patternType="solid">
        <x:fgColor rgb="FFFFF3CC"/>
      </x:patternFill>
    </x:fill>
    <x:fill>
      <x:patternFill patternType="solid">
        <x:fgColor rgb="FFF1F5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200" fontId="4" fillId="0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A32B20"/>
      </x:font>
      <x:fill>
        <x:patternFill patternType="solid">
          <x:bgColor rgb="FFFCE6E4"/>
        </x:patternFill>
      </x:fill>
    </x:dxf>
    <x:dxf>
      <x:font>
        <x:color rgb="FF9C6500"/>
      </x:font>
      <x:fill>
        <x:patternFill patternType="solid">
          <x:bgColor rgb="FFFFF3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2a509004f84948" /><Relationship Type="http://schemas.openxmlformats.org/officeDocument/2006/relationships/theme" Target="/xl/theme/theme1.xml" Id="R596b2d2c7265414f" /><Relationship Type="http://schemas.openxmlformats.org/officeDocument/2006/relationships/sharedStrings" Target="/xl/sharedStrings.xml" Id="R99852a6cecdd4e67" /><Relationship Type="http://schemas.openxmlformats.org/officeDocument/2006/relationships/worksheet" Target="/xl/worksheets/sheet1.xml" Id="R39b5d5fe23764323" /><Relationship Type="http://schemas.openxmlformats.org/officeDocument/2006/relationships/worksheet" Target="/xl/worksheets/sheet2.xml" Id="R8191dfb8191e40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28.75" hidden="0" customWidth="1"/>
    <x:col min="2" max="2" width="29.3799991607666" hidden="0" customWidth="1"/>
    <x:col min="3" max="3" width="6.880000114440918" hidden="0" customWidth="1"/>
    <x:col min="4" max="4" width="6.880000114440918" hidden="0" customWidth="1"/>
    <x:col min="5" max="5" width="8.130000114440918" hidden="0" customWidth="1"/>
    <x:col min="6" max="6" width="10.630000114440918" hidden="0" customWidth="1"/>
    <x:col min="7" max="7" width="10" hidden="0" customWidth="1"/>
    <x:col min="8" max="8" width="10.630000114440918" hidden="0" customWidth="1"/>
    <x:col min="9" max="9" width="10.630000114440918" hidden="0" customWidth="1"/>
    <x:col min="10" max="10" width="11.25" hidden="0" customWidth="1"/>
    <x:col min="11" max="11" width="30" hidden="0" customWidth="1"/>
    <x:col min="12" max="12" width="57.5" hidden="0" customWidth="1"/>
    <x:col min="13" max="13" width="67.5" hidden="0" customWidth="1"/>
    <x:col min="14" max="14" width="15.630000114440918" hidden="0" customWidth="1"/>
  </x:cols>
  <x:sheetData>
    <x:row r="2">
      <x:c r="A2" s="2" t="str">
        <x:v>Furuta pendulum electrical bill of materials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A3" s="1" t="str">
        <x:v>Prices in EGP. Checked 27 Oct 2026. Quantities are a one-unit build planning allowance.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A4" s="1" t="str">
        <x:v>Known full-build subtotal</x:v>
      </x:c>
      <x:c r="B4" s="17" t="n">
        <x:f>SUM(I9:I31)</x:f>
        <x:v>3288.25</x:v>
      </x:c>
      <x:c r="C4" s="1"/>
      <x:c r="D4" s="1"/>
      <x:c r="E4" s="1"/>
      <x:c r="F4" s="1" t="str">
        <x:v>Known remaining purchase subtotal</x:v>
      </x:c>
      <x:c r="G4" s="1"/>
      <x:c r="H4" s="1"/>
      <x:c r="I4" s="17" t="n">
        <x:f>SUM(H9:H31)</x:f>
        <x:v>2498.25</x:v>
      </x:c>
      <x:c r="J4" s="1"/>
      <x:c r="K4" s="1"/>
      <x:c r="L4" s="1"/>
      <x:c r="M4" s="1"/>
    </x:row>
    <x:row r="5" ht="23" customHeight="1">
      <x:c r="A5" s="1" t="str">
        <x:v>Unpriced purchase lines</x:v>
      </x:c>
      <x:c r="B5" s="1"/>
      <x:c r="C5" s="1"/>
      <x:c r="D5" s="1" t="n">
        <x:f>SUM(N9:N31)</x:f>
        <x:v>2</x:v>
      </x:c>
      <x:c r="E5" s="1"/>
      <x:c r="F5" s="1" t="str">
        <x:v>Excludes unpriced items and delivery.</x:v>
      </x:c>
      <x:c r="G5" s="1"/>
      <x:c r="H5" s="1"/>
      <x:c r="I5" s="1"/>
      <x:c r="J5" s="1"/>
      <x:c r="K5" s="1"/>
      <x:c r="L5" s="1"/>
      <x:c r="M5" s="1"/>
    </x:row>
    <x:row r="6" ht="23" customHeight="1">
      <x:c r="A6" s="1" t="str">
        <x:v>Amber cells are editable. ESP32 and motor owned; USB cable assumed owned. Set conditional quantities only after selection.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</x:row>
    <x:row r="7">
      <x:c r="A7" s="1" t="str">
        <x:v>Out-of-stock candidate prices are included; confirm substitutes before purchase.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</x:row>
    <x:row r="8" ht="35" customHeight="1">
      <x:c r="A8" s="7" t="str">
        <x:v>Component</x:v>
      </x:c>
      <x:c r="B8" s="7" t="str">
        <x:v>Specification</x:v>
      </x:c>
      <x:c r="C8" s="7" t="str">
        <x:v>Need</x:v>
      </x:c>
      <x:c r="D8" s="7" t="str">
        <x:v>Owned</x:v>
      </x:c>
      <x:c r="E8" s="7" t="str">
        <x:v>Buy qty</x:v>
      </x:c>
      <x:c r="F8" s="7" t="str">
        <x:v>Unit</x:v>
      </x:c>
      <x:c r="G8" s="7" t="str">
        <x:v>Unit EGP</x:v>
      </x:c>
      <x:c r="H8" s="7" t="str">
        <x:v>Buy EGP</x:v>
      </x:c>
      <x:c r="I8" s="7" t="str">
        <x:v>Build EGP</x:v>
      </x:c>
      <x:c r="J8" s="7" t="str">
        <x:v>Store</x:v>
      </x:c>
      <x:c r="K8" s="7" t="str">
        <x:v>Availability / decision</x:v>
      </x:c>
      <x:c r="L8" s="7" t="str">
        <x:v>Connection / buying notes</x:v>
      </x:c>
      <x:c r="M8" s="7" t="str">
        <x:v>Buying link / source</x:v>
      </x:c>
      <x:c r="N8" t="str">
        <x:v>Unpriced purchase</x:v>
      </x:c>
    </x:row>
    <x:row r="9" ht="64" customHeight="1">
      <x:c r="A9" s="9" t="str">
        <x:v>ESP32 38-pin CP2102</x:v>
      </x:c>
      <x:c r="B9" s="9" t="str">
        <x:v>ESP-WROOM-32; USB power</x:v>
      </x:c>
      <x:c r="C9" s="14" t="n">
        <x:v>1</x:v>
      </x:c>
      <x:c r="D9" s="14" t="n">
        <x:v>1</x:v>
      </x:c>
      <x:c r="E9" s="15" t="n">
        <x:f>MAX(0,C9-D9)</x:f>
        <x:v>0</x:v>
      </x:c>
      <x:c r="F9" s="10" t="str">
        <x:v>board</x:v>
      </x:c>
      <x:c r="G9" s="12" t="n">
        <x:v>340</x:v>
      </x:c>
      <x:c r="H9" s="13" t="n">
        <x:f>IF(E9=0,0,IF(ISNUMBER(G9),E9*G9,"Pending"))</x:f>
        <x:v>0</x:v>
      </x:c>
      <x:c r="I9" s="13" t="n">
        <x:f>IF(C9=0,0,IF(ISNUMBER(G9),C9*G9,"Pending"))</x:f>
        <x:v>340</x:v>
      </x:c>
      <x:c r="J9" s="10" t="str">
        <x:v>Ampere</x:v>
      </x:c>
      <x:c r="K9" s="9" t="str">
        <x:v>In stock (prior check)</x:v>
      </x:c>
      <x:c r="L9" s="9" t="str">
        <x:v>Already owned per user. GPIO is 3.3 V only.</x:v>
      </x:c>
      <x:c r="M9" s="9" t="str">
        <x:v>https://ampere-electronics.com/product/7254/</x:v>
      </x:c>
      <x:c r="N9" t="n">
        <x:f>IF(E9&gt;0,IF(ISNUMBER(G9),0,1),0)</x:f>
        <x:v>0</x:v>
      </x:c>
    </x:row>
    <x:row r="10" ht="64" customHeight="1">
      <x:c r="A10" s="18" t="str">
        <x:v>Cytron MD10C</x:v>
      </x:c>
      <x:c r="B10" s="18" t="str">
        <x:v>Single motor; PWM + DIR</x:v>
      </x:c>
      <x:c r="C10" s="14" t="n">
        <x:v>1</x:v>
      </x:c>
      <x:c r="D10" s="14" t="n">
        <x:v>0</x:v>
      </x:c>
      <x:c r="E10" s="15" t="n">
        <x:f>MAX(0,C10-D10)</x:f>
        <x:v>1</x:v>
      </x:c>
      <x:c r="F10" s="10" t="str">
        <x:v>board</x:v>
      </x:c>
      <x:c r="G10" s="12" t="n">
        <x:v>850</x:v>
      </x:c>
      <x:c r="H10" s="13" t="n">
        <x:f>IF(E10=0,0,IF(ISNUMBER(G10),E10*G10,"Pending"))</x:f>
        <x:v>850</x:v>
      </x:c>
      <x:c r="I10" s="13" t="n">
        <x:f>IF(C10=0,0,IF(ISNUMBER(G10),C10*G10,"Pending"))</x:f>
        <x:v>850</x:v>
      </x:c>
      <x:c r="J10" s="10" t="str">
        <x:v>RAM</x:v>
      </x:c>
      <x:c r="K10" s="9" t="str">
        <x:v>Orderable</x:v>
      </x:c>
      <x:c r="L10" s="9" t="str">
        <x:v>GPIO27 PWM; GPIO26 DIR; common GND.</x:v>
      </x:c>
      <x:c r="M10" s="9" t="str">
        <x:v>https://www.ram.com.eg/shop/md10c-cytron-md10c-cytron-10amp-5v-30v-dc-motor-driver-1-channel-9008</x:v>
      </x:c>
      <x:c r="N10" t="n">
        <x:f>IF(E10&gt;0,IF(ISNUMBER(G10),0,1),0)</x:f>
        <x:v>0</x:v>
      </x:c>
    </x:row>
    <x:row r="11" ht="64" customHeight="1">
      <x:c r="A11" s="9" t="str">
        <x:v>25GA370 motor + encoder</x:v>
      </x:c>
      <x:c r="B11" s="9" t="str">
        <x:v>12 V; 250 RPM</x:v>
      </x:c>
      <x:c r="C11" s="14" t="n">
        <x:v>1</x:v>
      </x:c>
      <x:c r="D11" s="14" t="n">
        <x:v>1</x:v>
      </x:c>
      <x:c r="E11" s="15" t="n">
        <x:f>MAX(0,C11-D11)</x:f>
        <x:v>0</x:v>
      </x:c>
      <x:c r="F11" s="10" t="str">
        <x:v>motor</x:v>
      </x:c>
      <x:c r="G11" s="12" t="n">
        <x:v>450</x:v>
      </x:c>
      <x:c r="H11" s="13" t="n">
        <x:f>IF(E11=0,0,IF(ISNUMBER(G11),E11*G11,"Pending"))</x:f>
        <x:v>0</x:v>
      </x:c>
      <x:c r="I11" s="13" t="n">
        <x:f>IF(C11=0,0,IF(ISNUMBER(G11),C11*G11,"Pending"))</x:f>
        <x:v>450</x:v>
      </x:c>
      <x:c r="J11" s="10" t="str">
        <x:v>Ampere</x:v>
      </x:c>
      <x:c r="K11" s="9" t="str">
        <x:v>In stock (prior check)</x:v>
      </x:c>
      <x:c r="L11" s="9" t="str">
        <x:v>Already owned. Verify encoder output stage; replacement listing is not proof of exact winding or pinout.</x:v>
      </x:c>
      <x:c r="M11" s="9" t="str">
        <x:v>https://ampere-electronics.com/product/25ga370-dc-gear-motor-with-encoder-250rpm-12vdc/</x:v>
      </x:c>
      <x:c r="N11" t="n">
        <x:f>IF(E11&gt;0,IF(ISNUMBER(G11),0,1),0)</x:f>
        <x:v>0</x:v>
      </x:c>
    </x:row>
    <x:row r="12" ht="64" customHeight="1">
      <x:c r="A12" s="18" t="str">
        <x:v>Pendulum encoder</x:v>
      </x:c>
      <x:c r="B12" s="18" t="str">
        <x:v>600 PPR; NPN open collector</x:v>
      </x:c>
      <x:c r="C12" s="14" t="n">
        <x:v>1</x:v>
      </x:c>
      <x:c r="D12" s="14" t="n">
        <x:v>0</x:v>
      </x:c>
      <x:c r="E12" s="15" t="n">
        <x:f>MAX(0,C12-D12)</x:f>
        <x:v>1</x:v>
      </x:c>
      <x:c r="F12" s="10" t="str">
        <x:v>encoder</x:v>
      </x:c>
      <x:c r="G12" s="12" t="n">
        <x:v>1200</x:v>
      </x:c>
      <x:c r="H12" s="13" t="n">
        <x:f>IF(E12=0,0,IF(ISNUMBER(G12),E12*G12,"Pending"))</x:f>
        <x:v>1200</x:v>
      </x:c>
      <x:c r="I12" s="13" t="n">
        <x:f>IF(C12=0,0,IF(ISNUMBER(G12),C12*G12,"Pending"))</x:f>
        <x:v>1200</x:v>
      </x:c>
      <x:c r="J12" s="10" t="str">
        <x:v>RAM</x:v>
      </x:c>
      <x:c r="K12" s="9" t="str">
        <x:v>Orderable</x:v>
      </x:c>
      <x:c r="L12" s="9" t="str">
        <x:v>E38S6G5-600B-G24N. A/B -&gt; GPIO18/19 with 3.3 V pull-ups if delivered unit matches.</x:v>
      </x:c>
      <x:c r="M12" s="9" t="str">
        <x:v>https://www.ram.com.eg/shop/encoder-600p-incremental-rotary-encoder-600-pulses-7873</x:v>
      </x:c>
      <x:c r="N12" t="n">
        <x:f>IF(E12&gt;0,IF(ISNUMBER(G12),0,1),0)</x:f>
        <x:v>0</x:v>
      </x:c>
    </x:row>
    <x:row r="13" ht="64" customHeight="1">
      <x:c r="A13" s="9" t="str">
        <x:v>12 V / 5 A adapter</x:v>
      </x:c>
      <x:c r="B13" s="9" t="str">
        <x:v>5.5 x 2.1 mm DC output</x:v>
      </x:c>
      <x:c r="C13" s="14" t="n">
        <x:v>1</x:v>
      </x:c>
      <x:c r="D13" s="14" t="n">
        <x:v>0</x:v>
      </x:c>
      <x:c r="E13" s="15" t="n">
        <x:f>MAX(0,C13-D13)</x:f>
        <x:v>1</x:v>
      </x:c>
      <x:c r="F13" s="10" t="str">
        <x:v>adapter</x:v>
      </x:c>
      <x:c r="G13" s="12" t="n">
        <x:v>200</x:v>
      </x:c>
      <x:c r="H13" s="13" t="n">
        <x:f>IF(E13=0,0,IF(ISNUMBER(G13),E13*G13,"Pending"))</x:f>
        <x:v>200</x:v>
      </x:c>
      <x:c r="I13" s="13" t="n">
        <x:f>IF(C13=0,0,IF(ISNUMBER(G13),C13*G13,"Pending"))</x:f>
        <x:v>200</x:v>
      </x:c>
      <x:c r="J13" s="10" t="str">
        <x:v>Ampere</x:v>
      </x:c>
      <x:c r="K13" s="9" t="str">
        <x:v>In stock (prior check)</x:v>
      </x:c>
      <x:c r="L13" s="9" t="str">
        <x:v>Confirm polarity, motor transient current and braking bus voltage.</x:v>
      </x:c>
      <x:c r="M13" s="9" t="str">
        <x:v>https://ampere-electronics.com/product/ac-power-adapter-12vdc-5a/</x:v>
      </x:c>
      <x:c r="N13" t="n">
        <x:f>IF(E13&gt;0,IF(ISNUMBER(G13),0,1),0)</x:f>
        <x:v>0</x:v>
      </x:c>
    </x:row>
    <x:row r="14" ht="64" customHeight="1">
      <x:c r="A14" s="18" t="str">
        <x:v>LM2596 buck module</x:v>
      </x:c>
      <x:c r="B14" s="18" t="str">
        <x:v>12 V input -&gt; 5 V output</x:v>
      </x:c>
      <x:c r="C14" s="14" t="n">
        <x:v>1</x:v>
      </x:c>
      <x:c r="D14" s="14" t="n">
        <x:v>0</x:v>
      </x:c>
      <x:c r="E14" s="15" t="n">
        <x:f>MAX(0,C14-D14)</x:f>
        <x:v>1</x:v>
      </x:c>
      <x:c r="F14" s="10" t="str">
        <x:v>module</x:v>
      </x:c>
      <x:c r="G14" s="12" t="n">
        <x:v>45</x:v>
      </x:c>
      <x:c r="H14" s="13" t="n">
        <x:f>IF(E14=0,0,IF(ISNUMBER(G14),E14*G14,"Pending"))</x:f>
        <x:v>45</x:v>
      </x:c>
      <x:c r="I14" s="13" t="n">
        <x:f>IF(C14=0,0,IF(ISNUMBER(G14),C14*G14,"Pending"))</x:f>
        <x:v>45</x:v>
      </x:c>
      <x:c r="J14" s="10" t="str">
        <x:v>RAM</x:v>
      </x:c>
      <x:c r="K14" s="9" t="str">
        <x:v>Orderable</x:v>
      </x:c>
      <x:c r="L14" s="9" t="str">
        <x:v>Encoder supply only. Set output before connecting. ESP32 remains USB powered.</x:v>
      </x:c>
      <x:c r="M14" s="9" t="str">
        <x:v>https://www.ram.com.eg/shop/dc-dc-100-dc-dc-step-down-voltage-converter-adjustable-3a-lm2596s-4-38vdc-to-1-5-35vdc-sku-dc100-7257</x:v>
      </x:c>
      <x:c r="N14" t="n">
        <x:f>IF(E14&gt;0,IF(ISNUMBER(G14),0,1),0)</x:f>
        <x:v>0</x:v>
      </x:c>
    </x:row>
    <x:row r="15" ht="64" customHeight="1">
      <x:c r="A15" s="9" t="str">
        <x:v>4.7 kohm pull-up array</x:v>
      </x:c>
      <x:c r="B15" s="9" t="str">
        <x:v>4 resistors; 5-pin network</x:v>
      </x:c>
      <x:c r="C15" s="14" t="n">
        <x:v>1</x:v>
      </x:c>
      <x:c r="D15" s="14" t="n">
        <x:v>0</x:v>
      </x:c>
      <x:c r="E15" s="15" t="n">
        <x:f>MAX(0,C15-D15)</x:f>
        <x:v>1</x:v>
      </x:c>
      <x:c r="F15" s="10" t="str">
        <x:v>network</x:v>
      </x:c>
      <x:c r="G15" s="12" t="n">
        <x:v>4</x:v>
      </x:c>
      <x:c r="H15" s="13" t="n">
        <x:f>IF(E15=0,0,IF(ISNUMBER(G15),E15*G15,"Pending"))</x:f>
        <x:v>4</x:v>
      </x:c>
      <x:c r="I15" s="13" t="n">
        <x:f>IF(C15=0,0,IF(ISNUMBER(G15),C15*G15,"Pending"))</x:f>
        <x:v>4</x:v>
      </x:c>
      <x:c r="J15" s="10" t="str">
        <x:v>RAM</x:v>
      </x:c>
      <x:c r="K15" s="9" t="str">
        <x:v>Orderable</x:v>
      </x:c>
      <x:c r="L15" s="9" t="str">
        <x:v>Use two branches for pendulum A/B. Verify common-pin layout. Spare branches only for compatible open-collector signals.</x:v>
      </x:c>
      <x:c r="M15" s="9" t="str">
        <x:v>https://www.ram.com.eg/shop/resistor-array-4-7k-5pin-resistor-network-4-7ko-x-4-5pins-6816</x:v>
      </x:c>
      <x:c r="N15" t="n">
        <x:f>IF(E15&gt;0,IF(ISNUMBER(G15),0,1),0)</x:f>
        <x:v>0</x:v>
      </x:c>
    </x:row>
    <x:row r="16" ht="64" customHeight="1">
      <x:c r="A16" s="18" t="str">
        <x:v>Power / motor cable</x:v>
      </x:c>
      <x:c r="B16" s="18" t="str">
        <x:v>2-core x 1 mm2, red/black</x:v>
      </x:c>
      <x:c r="C16" s="14" t="n">
        <x:v>2</x:v>
      </x:c>
      <x:c r="D16" s="14" t="n">
        <x:v>0</x:v>
      </x:c>
      <x:c r="E16" s="15" t="n">
        <x:f>MAX(0,C16-D16)</x:f>
        <x:v>2</x:v>
      </x:c>
      <x:c r="F16" s="10" t="str">
        <x:v>meter</x:v>
      </x:c>
      <x:c r="G16" s="12" t="n">
        <x:v>9.5</x:v>
      </x:c>
      <x:c r="H16" s="13" t="n">
        <x:f>IF(E16=0,0,IF(ISNUMBER(G16),E16*G16,"Pending"))</x:f>
        <x:v>19</x:v>
      </x:c>
      <x:c r="I16" s="13" t="n">
        <x:f>IF(C16=0,0,IF(ISNUMBER(G16),C16*G16,"Pending"))</x:f>
        <x:v>19</x:v>
      </x:c>
      <x:c r="J16" s="10" t="str">
        <x:v>RAM</x:v>
      </x:c>
      <x:c r="K16" s="9" t="str">
        <x:v>Orderable</x:v>
      </x:c>
      <x:c r="L16" s="9" t="str">
        <x:v>2 m planning allowance. Verify real copper area, current rating, insulation and voltage drop.</x:v>
      </x:c>
      <x:c r="M16" s="9" t="str">
        <x:v>https://www.ram.com.eg/shop/wire-speaker-2x1mm-speaker-wire-2-core-x-1mm-red-black-1-meter-8878</x:v>
      </x:c>
      <x:c r="N16" t="n">
        <x:f>IF(E16&gt;0,IF(ISNUMBER(G16),0,1),0)</x:f>
        <x:v>0</x:v>
      </x:c>
    </x:row>
    <x:row r="17" ht="64" customHeight="1">
      <x:c r="A17" s="9" t="str">
        <x:v>Signal jumper set</x:v>
      </x:c>
      <x:c r="B17" s="9" t="str">
        <x:v>40 female-female, 20 cm</x:v>
      </x:c>
      <x:c r="C17" s="14" t="n">
        <x:v>1</x:v>
      </x:c>
      <x:c r="D17" s="14" t="n">
        <x:v>0</x:v>
      </x:c>
      <x:c r="E17" s="15" t="n">
        <x:f>MAX(0,C17-D17)</x:f>
        <x:v>1</x:v>
      </x:c>
      <x:c r="F17" s="10" t="str">
        <x:v>set</x:v>
      </x:c>
      <x:c r="G17" s="12" t="n">
        <x:v>35</x:v>
      </x:c>
      <x:c r="H17" s="13" t="n">
        <x:f>IF(E17=0,0,IF(ISNUMBER(G17),E17*G17,"Pending"))</x:f>
        <x:v>35</x:v>
      </x:c>
      <x:c r="I17" s="13" t="n">
        <x:f>IF(C17=0,0,IF(ISNUMBER(G17),C17*G17,"Pending"))</x:f>
        <x:v>35</x:v>
      </x:c>
      <x:c r="J17" s="10" t="str">
        <x:v>RAM</x:v>
      </x:c>
      <x:c r="K17" s="9" t="str">
        <x:v>Orderable</x:v>
      </x:c>
      <x:c r="L17" s="9" t="str">
        <x:v>Logic only. Secure final encoder connections; not for motor current.</x:v>
      </x:c>
      <x:c r="M17" s="9" t="str">
        <x:v>https://www.ram.com.eg/shop/ph62-ff-20cm-ph62-20cm-female-to-female-40-jumper-wires-set-7189</x:v>
      </x:c>
      <x:c r="N17" t="n">
        <x:f>IF(E17&gt;0,IF(ISNUMBER(G17),0,1),0)</x:f>
        <x:v>0</x:v>
      </x:c>
    </x:row>
    <x:row r="18" ht="64" customHeight="1">
      <x:c r="A18" s="18" t="str">
        <x:v>Power branch connectors</x:v>
      </x:c>
      <x:c r="B18" s="18" t="str">
        <x:v>3-way lever, 0.75-1 mm2</x:v>
      </x:c>
      <x:c r="C18" s="14" t="n">
        <x:v>2</x:v>
      </x:c>
      <x:c r="D18" s="14" t="n">
        <x:v>0</x:v>
      </x:c>
      <x:c r="E18" s="15" t="n">
        <x:f>MAX(0,C18-D18)</x:f>
        <x:v>2</x:v>
      </x:c>
      <x:c r="F18" s="10" t="str">
        <x:v>connector</x:v>
      </x:c>
      <x:c r="G18" s="12" t="n">
        <x:v>10</x:v>
      </x:c>
      <x:c r="H18" s="13" t="n">
        <x:f>IF(E18=0,0,IF(ISNUMBER(G18),E18*G18,"Pending"))</x:f>
        <x:v>20</x:v>
      </x:c>
      <x:c r="I18" s="13" t="n">
        <x:f>IF(C18=0,0,IF(ISNUMBER(G18),C18*G18,"Pending"))</x:f>
        <x:v>20</x:v>
      </x:c>
      <x:c r="J18" s="10" t="str">
        <x:v>RAM</x:v>
      </x:c>
      <x:c r="K18" s="9" t="str">
        <x:v>Orderable</x:v>
      </x:c>
      <x:c r="L18" s="9" t="str">
        <x:v>One +12 V branch and one GND branch. Verify conductor fit and DC rating.</x:v>
      </x:c>
      <x:c r="M18" s="9" t="str">
        <x:v>https://www.ram.com.eg/shop/wago-t-tap-red-2x1-wago-t-tap-2x1-red-0-75-1mm2-stripping-free-wiring-connector-conductor-terminal-block-with-lever-lt-t2-red-9626</x:v>
      </x:c>
      <x:c r="N18" t="n">
        <x:f>IF(E18&gt;0,IF(ISNUMBER(G18),0,1),0)</x:f>
        <x:v>0</x:v>
      </x:c>
    </x:row>
    <x:row r="19" ht="64" customHeight="1">
      <x:c r="A19" s="9" t="str">
        <x:v>Heat shrink</x:v>
      </x:c>
      <x:c r="B19" s="9" t="str">
        <x:v>5 mm diameter</x:v>
      </x:c>
      <x:c r="C19" s="14" t="n">
        <x:v>2</x:v>
      </x:c>
      <x:c r="D19" s="14" t="n">
        <x:v>0</x:v>
      </x:c>
      <x:c r="E19" s="15" t="n">
        <x:f>MAX(0,C19-D19)</x:f>
        <x:v>2</x:v>
      </x:c>
      <x:c r="F19" s="10" t="str">
        <x:v>meter</x:v>
      </x:c>
      <x:c r="G19" s="12" t="n">
        <x:v>6</x:v>
      </x:c>
      <x:c r="H19" s="13" t="n">
        <x:f>IF(E19=0,0,IF(ISNUMBER(G19),E19*G19,"Pending"))</x:f>
        <x:v>12</x:v>
      </x:c>
      <x:c r="I19" s="13" t="n">
        <x:f>IF(C19=0,0,IF(ISNUMBER(G19),C19*G19,"Pending"))</x:f>
        <x:v>12</x:v>
      </x:c>
      <x:c r="J19" s="10" t="str">
        <x:v>RAM</x:v>
      </x:c>
      <x:c r="K19" s="9" t="str">
        <x:v>Orderable</x:v>
      </x:c>
      <x:c r="L19" s="9" t="str">
        <x:v>Planning allowance; choose diameters for actual joints.</x:v>
      </x:c>
      <x:c r="M19" s="9" t="str">
        <x:v>https://www.ram.com.eg/shop/h-sh-5mm-b-heat-shrink-ph-5mm-1-meter-9407</x:v>
      </x:c>
      <x:c r="N19" t="n">
        <x:f>IF(E19&gt;0,IF(ISNUMBER(G19),0,1),0)</x:f>
        <x:v>0</x:v>
      </x:c>
    </x:row>
    <x:row r="20" ht="64" customHeight="1">
      <x:c r="A20" s="18" t="str">
        <x:v>Inline fuse holder</x:v>
      </x:c>
      <x:c r="B20" s="18" t="str">
        <x:v>External 5 x 20 mm</x:v>
      </x:c>
      <x:c r="C20" s="14" t="n">
        <x:v>1</x:v>
      </x:c>
      <x:c r="D20" s="14" t="n">
        <x:v>0</x:v>
      </x:c>
      <x:c r="E20" s="15" t="n">
        <x:f>MAX(0,C20-D20)</x:f>
        <x:v>1</x:v>
      </x:c>
      <x:c r="F20" s="10" t="str">
        <x:v>holder</x:v>
      </x:c>
      <x:c r="G20" s="12" t="n">
        <x:v>10</x:v>
      </x:c>
      <x:c r="H20" s="13" t="n">
        <x:f>IF(E20=0,0,IF(ISNUMBER(G20),E20*G20,"Pending"))</x:f>
        <x:v>10</x:v>
      </x:c>
      <x:c r="I20" s="13" t="n">
        <x:f>IF(C20=0,0,IF(ISNUMBER(G20),C20*G20,"Pending"))</x:f>
        <x:v>10</x:v>
      </x:c>
      <x:c r="J20" s="10" t="str">
        <x:v>RAM</x:v>
      </x:c>
      <x:c r="K20" s="9" t="str">
        <x:v>Orderable</x:v>
      </x:c>
      <x:c r="L20" s="9" t="str">
        <x:v>Verify DC voltage/current rating and lead gauge before use.</x:v>
      </x:c>
      <x:c r="M20" s="9" t="str">
        <x:v>https://www.ram.com.eg/shop/fuse-pocket1-fuse-pocket-holder-external-for-t5x20-size-type-1-5995</x:v>
      </x:c>
      <x:c r="N20" t="n">
        <x:f>IF(E20&gt;0,IF(ISNUMBER(G20),0,1),0)</x:f>
        <x:v>0</x:v>
      </x:c>
    </x:row>
    <x:row r="21" ht="64" customHeight="1">
      <x:c r="A21" s="9" t="str">
        <x:v>Fuse + spare</x:v>
      </x:c>
      <x:c r="B21" s="9" t="str">
        <x:v>DC-rated; current / time curve TBD</x:v>
      </x:c>
      <x:c r="C21" s="14" t="n">
        <x:v>2</x:v>
      </x:c>
      <x:c r="D21" s="14" t="n">
        <x:v>0</x:v>
      </x:c>
      <x:c r="E21" s="15" t="n">
        <x:f>MAX(0,C21-D21)</x:f>
        <x:v>2</x:v>
      </x:c>
      <x:c r="F21" s="10" t="str">
        <x:v>fuse</x:v>
      </x:c>
      <x:c r="G21" s="12"/>
      <x:c r="H21" s="13" t="str">
        <x:f>IF(E21=0,0,IF(ISNUMBER(G21),E21*G21,"Pending"))</x:f>
        <x:v>Pending</x:v>
      </x:c>
      <x:c r="I21" s="13" t="str">
        <x:f>IF(C21=0,0,IF(ISNUMBER(G21),C21*G21,"Pending"))</x:f>
        <x:v>Pending</x:v>
      </x:c>
      <x:c r="J21" s="10" t="str">
        <x:v>RAM</x:v>
      </x:c>
      <x:c r="K21" s="9" t="str">
        <x:v>Specification and quote pending</x:v>
      </x:c>
      <x:c r="L21" s="9" t="str">
        <x:v>Do not buy a guessed current rating. Choose after motor-current measurement and wiring check.</x:v>
      </x:c>
      <x:c r="M21" s="9" t="str">
        <x:v>https://www.ram.com.eg/shop?search=fuse</x:v>
      </x:c>
      <x:c r="N21" t="n">
        <x:f>IF(E21&gt;0,IF(ISNUMBER(G21),0,1),0)</x:f>
        <x:v>1</x:v>
      </x:c>
    </x:row>
    <x:row r="22" ht="64" customHeight="1">
      <x:c r="A22" s="18" t="str">
        <x:v>Latching E-stop</x:v>
      </x:c>
      <x:c r="B22" s="18" t="str">
        <x:v>22 mm; NC contact required</x:v>
      </x:c>
      <x:c r="C22" s="14" t="n">
        <x:v>1</x:v>
      </x:c>
      <x:c r="D22" s="14" t="n">
        <x:v>0</x:v>
      </x:c>
      <x:c r="E22" s="15" t="n">
        <x:f>MAX(0,C22-D22)</x:f>
        <x:v>1</x:v>
      </x:c>
      <x:c r="F22" s="10" t="str">
        <x:v>switch</x:v>
      </x:c>
      <x:c r="G22" s="12" t="n">
        <x:v>75</x:v>
      </x:c>
      <x:c r="H22" s="13" t="n">
        <x:f>IF(E22=0,0,IF(ISNUMBER(G22),E22*G22,"Pending"))</x:f>
        <x:v>75</x:v>
      </x:c>
      <x:c r="I22" s="13" t="n">
        <x:f>IF(C22=0,0,IF(ISNUMBER(G22),C22*G22,"Pending"))</x:f>
        <x:v>75</x:v>
      </x:c>
      <x:c r="J22" s="10" t="str">
        <x:v>RAM</x:v>
      </x:c>
      <x:c r="K22" s="9" t="str">
        <x:v>Out of stock; DC rating unverified</x:v>
      </x:c>
      <x:c r="L22" s="9" t="str">
        <x:v>Candidate price only. Verify DC motor-load switching rating; use rated contactor if needed.</x:v>
      </x:c>
      <x:c r="M22" s="9" t="str">
        <x:v>https://www.ram.com.eg/shop/pb-emergency-22mm-emergency-switch-22mm-push-button-3pin-7198</x:v>
      </x:c>
      <x:c r="N22" t="n">
        <x:f>IF(E22&gt;0,IF(ISNUMBER(G22),0,1),0)</x:f>
        <x:v>0</x:v>
      </x:c>
    </x:row>
    <x:row r="23" ht="64" customHeight="1">
      <x:c r="A23" s="9" t="str">
        <x:v>Bulk capacitor</x:v>
      </x:c>
      <x:c r="B23" s="9" t="str">
        <x:v>470 uF; 35 V</x:v>
      </x:c>
      <x:c r="C23" s="14" t="n">
        <x:v>1</x:v>
      </x:c>
      <x:c r="D23" s="14" t="n">
        <x:v>0</x:v>
      </x:c>
      <x:c r="E23" s="15" t="n">
        <x:f>MAX(0,C23-D23)</x:f>
        <x:v>1</x:v>
      </x:c>
      <x:c r="F23" s="10" t="str">
        <x:v>capacitor</x:v>
      </x:c>
      <x:c r="G23" s="12" t="n">
        <x:v>2</x:v>
      </x:c>
      <x:c r="H23" s="13" t="n">
        <x:f>IF(E23=0,0,IF(ISNUMBER(G23),E23*G23,"Pending"))</x:f>
        <x:v>2</x:v>
      </x:c>
      <x:c r="I23" s="13" t="n">
        <x:f>IF(C23=0,0,IF(ISNUMBER(G23),C23*G23,"Pending"))</x:f>
        <x:v>2</x:v>
      </x:c>
      <x:c r="J23" s="10" t="str">
        <x:v>RAM</x:v>
      </x:c>
      <x:c r="K23" s="9" t="str">
        <x:v>Out of stock</x:v>
      </x:c>
      <x:c r="L23" s="9" t="str">
        <x:v>Local bus filtering if required. Not a substitute for braking-energy management.</x:v>
      </x:c>
      <x:c r="M23" s="9" t="str">
        <x:v>https://www.ram.com.eg/shop/c-470u35v-capacitor-470uf-35v-6084</x:v>
      </x:c>
      <x:c r="N23" t="n">
        <x:f>IF(E23&gt;0,IF(ISNUMBER(G23),0,1),0)</x:f>
        <x:v>0</x:v>
      </x:c>
    </x:row>
    <x:row r="24" ht="64" customHeight="1">
      <x:c r="A24" s="18" t="str">
        <x:v>Ceramic decoupling</x:v>
      </x:c>
      <x:c r="B24" s="18" t="str">
        <x:v>100 nF; 25 V</x:v>
      </x:c>
      <x:c r="C24" s="14" t="n">
        <x:v>3</x:v>
      </x:c>
      <x:c r="D24" s="14" t="n">
        <x:v>0</x:v>
      </x:c>
      <x:c r="E24" s="15" t="n">
        <x:f>MAX(0,C24-D24)</x:f>
        <x:v>3</x:v>
      </x:c>
      <x:c r="F24" s="10" t="str">
        <x:v>capacitor</x:v>
      </x:c>
      <x:c r="G24" s="12" t="n">
        <x:v>0.75</x:v>
      </x:c>
      <x:c r="H24" s="13" t="n">
        <x:f>IF(E24=0,0,IF(ISNUMBER(G24),E24*G24,"Pending"))</x:f>
        <x:v>2.25</x:v>
      </x:c>
      <x:c r="I24" s="13" t="n">
        <x:f>IF(C24=0,0,IF(ISNUMBER(G24),C24*G24,"Pending"))</x:f>
        <x:v>2.25</x:v>
      </x:c>
      <x:c r="J24" s="10" t="str">
        <x:v>RAM</x:v>
      </x:c>
      <x:c r="K24" s="9" t="str">
        <x:v>Orderable</x:v>
      </x:c>
      <x:c r="L24" s="9" t="str">
        <x:v>At encoder supply points and suitable local supply node; verify placement and existing board capacitors.</x:v>
      </x:c>
      <x:c r="M24" s="9" t="str">
        <x:v>https://www.ram.com.eg/shop/c-pf-104-ceramic-capacitor-pf104-100nf-25v-6240</x:v>
      </x:c>
      <x:c r="N24" t="n">
        <x:f>IF(E24&gt;0,IF(ISNUMBER(G24),0,1),0)</x:f>
        <x:v>0</x:v>
      </x:c>
    </x:row>
    <x:row r="25" ht="64" customHeight="1">
      <x:c r="A25" s="9" t="str">
        <x:v>10 kohm pull-down array</x:v>
      </x:c>
      <x:c r="B25" s="9" t="str">
        <x:v>4 resistors; 5-pin network</x:v>
      </x:c>
      <x:c r="C25" s="14" t="n">
        <x:v>1</x:v>
      </x:c>
      <x:c r="D25" s="14" t="n">
        <x:v>0</x:v>
      </x:c>
      <x:c r="E25" s="15" t="n">
        <x:f>MAX(0,C25-D25)</x:f>
        <x:v>1</x:v>
      </x:c>
      <x:c r="F25" s="10" t="str">
        <x:v>network</x:v>
      </x:c>
      <x:c r="G25" s="12" t="n">
        <x:v>4</x:v>
      </x:c>
      <x:c r="H25" s="13" t="n">
        <x:f>IF(E25=0,0,IF(ISNUMBER(G25),E25*G25,"Pending"))</x:f>
        <x:v>4</x:v>
      </x:c>
      <x:c r="I25" s="13" t="n">
        <x:f>IF(C25=0,0,IF(ISNUMBER(G25),C25*G25,"Pending"))</x:f>
        <x:v>4</x:v>
      </x:c>
      <x:c r="J25" s="10" t="str">
        <x:v>RAM</x:v>
      </x:c>
      <x:c r="K25" s="9" t="str">
        <x:v>Out of stock</x:v>
      </x:c>
      <x:c r="L25" s="9" t="str">
        <x:v>Use one branch PWM -&gt; GND if needed for reset default LOW. Verify network common pin.</x:v>
      </x:c>
      <x:c r="M25" s="9" t="str">
        <x:v>https://www.ram.com.eg/shop/resistor-array-10k-5pin-resistor-network-10ko-x-4-5pins-6813</x:v>
      </x:c>
      <x:c r="N25" t="n">
        <x:f>IF(E25&gt;0,IF(ISNUMBER(G25),0,1),0)</x:f>
        <x:v>0</x:v>
      </x:c>
    </x:row>
    <x:row r="26" ht="64" customHeight="1">
      <x:c r="A26" s="18" t="str">
        <x:v>DC input connection</x:v>
      </x:c>
      <x:c r="B26" s="18" t="str">
        <x:v>5.5 x 2.1 mm, rated for 5 A DC</x:v>
      </x:c>
      <x:c r="C26" s="14" t="n">
        <x:v>1</x:v>
      </x:c>
      <x:c r="D26" s="14" t="n">
        <x:v>0</x:v>
      </x:c>
      <x:c r="E26" s="15" t="n">
        <x:f>MAX(0,C26-D26)</x:f>
        <x:v>1</x:v>
      </x:c>
      <x:c r="F26" s="10" t="str">
        <x:v>connector</x:v>
      </x:c>
      <x:c r="G26" s="12"/>
      <x:c r="H26" s="13" t="str">
        <x:f>IF(E26=0,0,IF(ISNUMBER(G26),E26*G26,"Pending"))</x:f>
        <x:v>Pending</x:v>
      </x:c>
      <x:c r="I26" s="13" t="str">
        <x:f>IF(C26=0,0,IF(ISNUMBER(G26),C26*G26,"Pending"))</x:f>
        <x:v>Pending</x:v>
      </x:c>
      <x:c r="J26" s="10" t="str">
        <x:v>RAM</x:v>
      </x:c>
      <x:c r="K26" s="9" t="str">
        <x:v>Rating and quote pending</x:v>
      </x:c>
      <x:c r="L26" s="9" t="str">
        <x:v>Match adapter; avoid under-rated barrel sockets. Confirm actual 5 A capacity.</x:v>
      </x:c>
      <x:c r="M26" s="9" t="str">
        <x:v>https://www.ram.com.eg/shop?search=DC+female</x:v>
      </x:c>
      <x:c r="N26" t="n">
        <x:f>IF(E26&gt;0,IF(ISNUMBER(G26),0,1),0)</x:f>
        <x:v>1</x:v>
      </x:c>
    </x:row>
    <x:row r="27" ht="64" customHeight="1">
      <x:c r="A27" s="9" t="str">
        <x:v>USB data cable</x:v>
      </x:c>
      <x:c r="B27" s="9" t="str">
        <x:v>USB-A to Micro-B (confirm board)</x:v>
      </x:c>
      <x:c r="C27" s="14" t="n">
        <x:v>1</x:v>
      </x:c>
      <x:c r="D27" s="14" t="n">
        <x:v>1</x:v>
      </x:c>
      <x:c r="E27" s="15" t="n">
        <x:f>MAX(0,C27-D27)</x:f>
        <x:v>0</x:v>
      </x:c>
      <x:c r="F27" s="10" t="str">
        <x:v>cable</x:v>
      </x:c>
      <x:c r="G27" s="12"/>
      <x:c r="H27" s="13" t="n">
        <x:f>IF(E27=0,0,IF(ISNUMBER(G27),E27*G27,"Pending"))</x:f>
        <x:v>0</x:v>
      </x:c>
      <x:c r="I27" s="13" t="str">
        <x:f>IF(C27=0,0,IF(ISNUMBER(G27),C27*G27,"Pending"))</x:f>
        <x:v>Pending</x:v>
      </x:c>
      <x:c r="J27" s="10" t="str">
        <x:v>RAM</x:v>
      </x:c>
      <x:c r="K27" s="9" t="str">
        <x:v>Assumed owned; verify</x:v>
      </x:c>
      <x:c r="L27" s="9" t="str">
        <x:v>Assumed available from prior ESP32 use; change Owned to 0 if needed. Must support data.</x:v>
      </x:c>
      <x:c r="M27" s="9" t="str">
        <x:v>https://www.ram.com.eg/shop?search=USB+Micro</x:v>
      </x:c>
      <x:c r="N27" t="n">
        <x:f>IF(E27&gt;0,IF(ISNUMBER(G27),0,1),0)</x:f>
        <x:v>0</x:v>
      </x:c>
    </x:row>
    <x:row r="28" ht="64" customHeight="1">
      <x:c r="A28" s="18" t="str">
        <x:v>Solderable interface board</x:v>
      </x:c>
      <x:c r="B28" s="18" t="str">
        <x:v>For pull-ups / conditioning</x:v>
      </x:c>
      <x:c r="C28" s="14" t="n">
        <x:v>1</x:v>
      </x:c>
      <x:c r="D28" s="14" t="n">
        <x:v>0</x:v>
      </x:c>
      <x:c r="E28" s="15" t="n">
        <x:f>MAX(0,C28-D28)</x:f>
        <x:v>1</x:v>
      </x:c>
      <x:c r="F28" s="10" t="str">
        <x:v>board</x:v>
      </x:c>
      <x:c r="G28" s="12" t="n">
        <x:v>20</x:v>
      </x:c>
      <x:c r="H28" s="13" t="n">
        <x:f>IF(E28=0,0,IF(ISNUMBER(G28),E28*G28,"Pending"))</x:f>
        <x:v>20</x:v>
      </x:c>
      <x:c r="I28" s="13" t="n">
        <x:f>IF(C28=0,0,IF(ISNUMBER(G28),C28*G28,"Pending"))</x:f>
        <x:v>20</x:v>
      </x:c>
      <x:c r="J28" s="10" t="str">
        <x:v>RAM</x:v>
      </x:c>
      <x:c r="K28" s="9" t="str">
        <x:v>Out of stock</x:v>
      </x:c>
      <x:c r="L28" s="9" t="str">
        <x:v>Logic interface only. Avoid motor current through thin prototype traces.</x:v>
      </x:c>
      <x:c r="M28" s="9" t="str">
        <x:v>https://www.ram.com.eg/shop/pcb25-holes-double-7x9-pcb-fr-4-dots-holes-7x9-cm2-double-side-with-green-musk-sku-pcb25-6768</x:v>
      </x:c>
      <x:c r="N28" t="n">
        <x:f>IF(E28&gt;0,IF(ISNUMBER(G28),0,1),0)</x:f>
        <x:v>0</x:v>
      </x:c>
    </x:row>
    <x:row r="29" ht="64" customHeight="1">
      <x:c r="A29" s="9" t="str">
        <x:v>Motor encoder level interface</x:v>
      </x:c>
      <x:c r="B29" s="9" t="str">
        <x:v>2 channels; choose after A/B check</x:v>
      </x:c>
      <x:c r="C29" s="14" t="n">
        <x:v>0</x:v>
      </x:c>
      <x:c r="D29" s="14" t="n">
        <x:v>0</x:v>
      </x:c>
      <x:c r="E29" s="15" t="n">
        <x:f>MAX(0,C29-D29)</x:f>
        <x:v>0</x:v>
      </x:c>
      <x:c r="F29" s="10" t="str">
        <x:v>interface</x:v>
      </x:c>
      <x:c r="G29" s="12"/>
      <x:c r="H29" s="13" t="n">
        <x:f>IF(E29=0,0,IF(ISNUMBER(G29),E29*G29,"Pending"))</x:f>
        <x:v>0</x:v>
      </x:c>
      <x:c r="I29" s="13" t="n">
        <x:f>IF(C29=0,0,IF(ISNUMBER(G29),C29*G29,"Pending"))</x:f>
        <x:v>0</x:v>
      </x:c>
      <x:c r="J29" s="10" t="str">
        <x:v>RAM / Ampere</x:v>
      </x:c>
      <x:c r="K29" s="9" t="str">
        <x:v>Conditional; not selected</x:v>
      </x:c>
      <x:c r="L29" s="9" t="str">
        <x:v>If 5 V push-pull: rated 5 V-tolerant buffer or designed dividers. Do not default to an I2C BSS138 board.</x:v>
      </x:c>
      <x:c r="M29" s="9" t="str">
        <x:v>https://www.ram.com.eg/shop?search=level+converter</x:v>
      </x:c>
      <x:c r="N29" t="n">
        <x:f>IF(E29&gt;0,IF(ISNUMBER(G29),0,1),0)</x:f>
        <x:v>0</x:v>
      </x:c>
    </x:row>
    <x:row r="30" ht="64" customHeight="1">
      <x:c r="A30" s="18" t="str">
        <x:v>DC contactor / relay</x:v>
      </x:c>
      <x:c r="B30" s="18" t="str">
        <x:v>Motor-load rated, if E-stop inadequate</x:v>
      </x:c>
      <x:c r="C30" s="14" t="n">
        <x:v>0</x:v>
      </x:c>
      <x:c r="D30" s="14" t="n">
        <x:v>0</x:v>
      </x:c>
      <x:c r="E30" s="15" t="n">
        <x:f>MAX(0,C30-D30)</x:f>
        <x:v>0</x:v>
      </x:c>
      <x:c r="F30" s="10" t="str">
        <x:v>assembly</x:v>
      </x:c>
      <x:c r="G30" s="12"/>
      <x:c r="H30" s="13" t="n">
        <x:f>IF(E30=0,0,IF(ISNUMBER(G30),E30*G30,"Pending"))</x:f>
        <x:v>0</x:v>
      </x:c>
      <x:c r="I30" s="13" t="n">
        <x:f>IF(C30=0,0,IF(ISNUMBER(G30),C30*G30,"Pending"))</x:f>
        <x:v>0</x:v>
      </x:c>
      <x:c r="J30" s="10" t="str">
        <x:v>RAM / Ampere</x:v>
      </x:c>
      <x:c r="K30" s="9" t="str">
        <x:v>Conditional; not selected</x:v>
      </x:c>
      <x:c r="L30" s="9" t="str">
        <x:v>Use if switch cannot directly break motor load. Coil suppression / driver depend on selection.</x:v>
      </x:c>
      <x:c r="M30" s="9" t="str">
        <x:v>https://www.ram.com.eg/shop?search=relay</x:v>
      </x:c>
      <x:c r="N30" t="n">
        <x:f>IF(E30&gt;0,IF(ISNUMBER(G30),0,1),0)</x:f>
        <x:v>0</x:v>
      </x:c>
    </x:row>
    <x:row r="31" ht="64" customHeight="1">
      <x:c r="A31" s="9" t="str">
        <x:v>Bus overvoltage management</x:v>
      </x:c>
      <x:c r="B31" s="9" t="str">
        <x:v>Clamp / braking circuit if needed</x:v>
      </x:c>
      <x:c r="C31" s="14" t="n">
        <x:v>0</x:v>
      </x:c>
      <x:c r="D31" s="14" t="n">
        <x:v>0</x:v>
      </x:c>
      <x:c r="E31" s="15" t="n">
        <x:f>MAX(0,C31-D31)</x:f>
        <x:v>0</x:v>
      </x:c>
      <x:c r="F31" s="10" t="str">
        <x:v>assembly</x:v>
      </x:c>
      <x:c r="G31" s="12"/>
      <x:c r="H31" s="13" t="n">
        <x:f>IF(E31=0,0,IF(ISNUMBER(G31),E31*G31,"Pending"))</x:f>
        <x:v>0</x:v>
      </x:c>
      <x:c r="I31" s="13" t="n">
        <x:f>IF(C31=0,0,IF(ISNUMBER(G31),C31*G31,"Pending"))</x:f>
        <x:v>0</x:v>
      </x:c>
      <x:c r="J31" s="10" t="str">
        <x:v>RAM / Ampere</x:v>
      </x:c>
      <x:c r="K31" s="9" t="str">
        <x:v>Conditional; not selected</x:v>
      </x:c>
      <x:c r="L31" s="9" t="str">
        <x:v>Select from measured braking energy and allowed bus voltage. No arbitrary TVS selection.</x:v>
      </x:c>
      <x:c r="M31" s="9" t="str">
        <x:v>https://www.ram.com.eg/shop?search=TVS</x:v>
      </x:c>
      <x:c r="N31" t="n">
        <x:f>IF(E31&gt;0,IF(ISNUMBER(G31),0,1),0)</x:f>
        <x:v>0</x:v>
      </x:c>
    </x:row>
  </x:sheetData>
  <x:conditionalFormatting sqref="K9:K31">
    <x:cfRule type="containsText" dxfId="0" priority="1" operator="containsText" text="Out of stock"/>
  </x:conditionalFormatting>
  <x:conditionalFormatting sqref="H9:I31">
    <x:cfRule type="containsText" dxfId="1" priority="2" operator="containsText" text="Pending"/>
  </x:conditionalFormatting>
  <x:dataValidations count="1">
    <x:dataValidation type="whole" operator="greaterThanOrEqual" sqref="C9:D31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.5" hidden="0" customWidth="1"/>
    <x:col min="2" max="2" width="11.25" hidden="0" customWidth="1"/>
    <x:col min="3" max="3" width="11.25" hidden="0" customWidth="1"/>
    <x:col min="4" max="4" width="21.25" hidden="0" customWidth="1"/>
    <x:col min="5" max="5" width="66.25" hidden="0" customWidth="1"/>
    <x:col min="6" max="6" width="55" hidden="0" customWidth="1"/>
  </x:cols>
  <x:sheetData>
    <x:row r="2">
      <x:c r="A2" s="19" t="str">
        <x:v>Alternative store offers</x:v>
      </x:c>
      <x:c r="B2" s="1"/>
      <x:c r="C2" s="1"/>
      <x:c r="D2" s="1"/>
      <x:c r="E2" s="1"/>
      <x:c r="F2" s="1"/>
    </x:row>
    <x:row r="3">
      <x:c r="A3" s="1" t="str">
        <x:v>Reference prices only. Not added to Components totals. Confirm stock before ordering.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32" customHeight="1">
      <x:c r="A5" s="4" t="str">
        <x:v>Component</x:v>
      </x:c>
      <x:c r="B5" s="4" t="str">
        <x:v>Store</x:v>
      </x:c>
      <x:c r="C5" s="4" t="str">
        <x:v>Unit EGP</x:v>
      </x:c>
      <x:c r="D5" s="4" t="str">
        <x:v>Availability</x:v>
      </x:c>
      <x:c r="E5" s="4" t="str">
        <x:v>Buying link / source</x:v>
      </x:c>
      <x:c r="F5" s="4" t="str">
        <x:v>Selection note</x:v>
      </x:c>
    </x:row>
    <x:row r="6" ht="72" customHeight="1">
      <x:c r="A6" s="9" t="str">
        <x:v>ESP32 38-pin CP2102</x:v>
      </x:c>
      <x:c r="B6" s="9" t="str">
        <x:v>RAM</x:v>
      </x:c>
      <x:c r="C6" s="20" t="n">
        <x:v>350</x:v>
      </x:c>
      <x:c r="D6" s="9" t="str">
        <x:v>Orderable</x:v>
      </x:c>
      <x:c r="E6" s="9" t="str">
        <x:v>https://www.ram.com.eg/shop/kit-esp32-esp32s-38pin-esp-32s-38pin-development-board-wifi-bluetooth-with-new-cp2102-chip-9279</x:v>
      </x:c>
      <x:c r="F6" s="9" t="str">
        <x:v>Same interface class; exact board pin labels must match.</x:v>
      </x:c>
    </x:row>
    <x:row r="7" ht="72" customHeight="1">
      <x:c r="A7" s="9" t="str">
        <x:v>25GA370 encoder motor 250 RPM</x:v>
      </x:c>
      <x:c r="B7" s="9" t="str">
        <x:v>RAM</x:v>
      </x:c>
      <x:c r="C7" s="20" t="n">
        <x:v>475</x:v>
      </x:c>
      <x:c r="D7" s="9" t="str">
        <x:v>Out of stock</x:v>
      </x:c>
      <x:c r="E7" s="9" t="str">
        <x:v>https://www.ram.com.eg/shop/dc-jga25-370-enc-12v250r-25ga370-dc-geared-motor-with-encoder-12vdc-250-rpm-9611</x:v>
      </x:c>
      <x:c r="F7" s="9" t="str">
        <x:v>Different listed power / gearing specifications from Ampere. Do not substitute encoder pinout.</x:v>
      </x:c>
    </x:row>
    <x:row r="8" ht="72" customHeight="1">
      <x:c r="A8" s="9" t="str">
        <x:v>12 V / 5 A adapter</x:v>
      </x:c>
      <x:c r="B8" s="9" t="str">
        <x:v>RAM</x:v>
      </x:c>
      <x:c r="C8" s="20" t="n">
        <x:v>200</x:v>
      </x:c>
      <x:c r="D8" s="9" t="str">
        <x:v>Out of stock</x:v>
      </x:c>
      <x:c r="E8" s="9" t="str">
        <x:v>https://www.ram-e-shop.com/shop/adapter-fixed-12v-5a-wall-power-adapter-12vdc-5a-high-quality-adapter-6446</x:v>
      </x:c>
      <x:c r="F8" s="9" t="str">
        <x:v>Match polarity and connector; adapter is not assumed able to absorb braking energy.</x:v>
      </x:c>
    </x:row>
    <x:row r="9" ht="72" customHeight="1">
      <x:c r="A9" s="9" t="str">
        <x:v>LM2596 buck</x:v>
      </x:c>
      <x:c r="B9" s="9" t="str">
        <x:v>Ampere</x:v>
      </x:c>
      <x:c r="C9" s="20" t="n">
        <x:v>65</x:v>
      </x:c>
      <x:c r="D9" s="9" t="str">
        <x:v>In stock at prior check</x:v>
      </x:c>
      <x:c r="E9" s="9" t="str">
        <x:v>https://ampere-electronics.com/product/lm2596-dc-dc-buck-converter-step-down-power-module-output-1-25v-35v/</x:v>
      </x:c>
      <x:c r="F9" s="9" t="str">
        <x:v>Page mixes 3 A and 5 A claims. Do not rely on 5 A claim.</x:v>
      </x:c>
    </x:row>
    <x:row r="10" ht="72" customHeight="1">
      <x:c r="A10" s="9" t="str">
        <x:v>Pendulum encoder 360 PPR</x:v>
      </x:c>
      <x:c r="B10" s="9" t="str">
        <x:v>Ampere</x:v>
      </x:c>
      <x:c r="C10" s="20" t="n">
        <x:v>950</x:v>
      </x:c>
      <x:c r="D10" s="9" t="str">
        <x:v>In stock at prior check</x:v>
      </x:c>
      <x:c r="E10" s="9" t="str">
        <x:v>https://ampere-electronics.com/product/incremental-rotary-encoder-360p-r-e38s6g5-360b-g24n/</x:v>
      </x:c>
      <x:c r="F10" s="9" t="str">
        <x:v>Lower resolution alternative, not the selected 600-PPR item. Verify assignment and output type.</x:v>
      </x:c>
    </x:row>
  </x:sheetData>
  <x:pageMargins left="0.7" right="0.7" top="0.75" bottom="0.75" header="0.3" footer="0.3"/>
</x:worksheet>
</file>